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s\OneDrive - AmmoBouw BV\Bureaublad\"/>
    </mc:Choice>
  </mc:AlternateContent>
  <xr:revisionPtr revIDLastSave="0" documentId="13_ncr:1_{F655B0AD-F748-4902-9430-8DC57C4AF6A2}" xr6:coauthVersionLast="47" xr6:coauthVersionMax="47" xr10:uidLastSave="{00000000-0000-0000-0000-000000000000}"/>
  <bookViews>
    <workbookView xWindow="-98" yWindow="-98" windowWidth="21795" windowHeight="13875" tabRatio="860" xr2:uid="{00000000-000D-0000-FFFF-FFFF00000000}"/>
  </bookViews>
  <sheets>
    <sheet name="GREX Samenvatting" sheetId="1" r:id="rId1"/>
    <sheet name="Grondexploitatie" sheetId="2" r:id="rId2"/>
    <sheet name="Bouwkosten" sheetId="3" r:id="rId3"/>
    <sheet name="Infra &amp; Openbaar" sheetId="4" r:id="rId4"/>
    <sheet name="Advies &amp; Leges" sheetId="5" r:id="rId5"/>
    <sheet name="Opbrengsten" sheetId="6" r:id="rId6"/>
    <sheet name="Scenario Analyse" sheetId="7" r:id="rId7"/>
    <sheet name="Boerdorp Voorbeel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20" i="8"/>
  <c r="D22" i="8" s="1"/>
  <c r="D19" i="8"/>
  <c r="D18" i="8"/>
  <c r="D17" i="8"/>
  <c r="D16" i="8"/>
  <c r="D11" i="8"/>
  <c r="D10" i="8"/>
  <c r="D9" i="8"/>
  <c r="D8" i="8"/>
  <c r="D7" i="8"/>
  <c r="D6" i="8"/>
  <c r="D5" i="8"/>
  <c r="D4" i="8"/>
  <c r="D3" i="8"/>
  <c r="D2" i="8"/>
  <c r="D4" i="7"/>
  <c r="D3" i="7"/>
  <c r="D2" i="7"/>
  <c r="B7" i="1"/>
  <c r="B5" i="1"/>
  <c r="B4" i="1"/>
  <c r="B3" i="1"/>
  <c r="B2" i="1"/>
  <c r="B8" i="1" l="1"/>
</calcChain>
</file>

<file path=xl/sharedStrings.xml><?xml version="1.0" encoding="utf-8"?>
<sst xmlns="http://schemas.openxmlformats.org/spreadsheetml/2006/main" count="110" uniqueCount="92">
  <si>
    <t>Onderdeel</t>
  </si>
  <si>
    <t>Bedrag (€)</t>
  </si>
  <si>
    <t>Totale grondkosten</t>
  </si>
  <si>
    <t>Totale bouwkosten</t>
  </si>
  <si>
    <t>Totale infrastructuur</t>
  </si>
  <si>
    <t>Totale advieskosten</t>
  </si>
  <si>
    <t>Totale opbrengsten</t>
  </si>
  <si>
    <t>Resultaat GREX</t>
  </si>
  <si>
    <t>Post</t>
  </si>
  <si>
    <t>Toelichting</t>
  </si>
  <si>
    <t>Aankoop grond</t>
  </si>
  <si>
    <t>Sloopkosten</t>
  </si>
  <si>
    <t>Bodemonderzoek</t>
  </si>
  <si>
    <t>Bodemsanering</t>
  </si>
  <si>
    <t>Notaris / overdracht</t>
  </si>
  <si>
    <t>Rente grondpositie</t>
  </si>
  <si>
    <t>Overige grondkosten</t>
  </si>
  <si>
    <t>Woningen</t>
  </si>
  <si>
    <t>Zorgwoningen</t>
  </si>
  <si>
    <t>Gemeenschappelijke ruimte</t>
  </si>
  <si>
    <t>Installaties</t>
  </si>
  <si>
    <t>Duurzame energie</t>
  </si>
  <si>
    <t>Waterbeheer</t>
  </si>
  <si>
    <t>Circulaire voorzieningen</t>
  </si>
  <si>
    <t>Onvoorzien (%)</t>
  </si>
  <si>
    <t>Wegen</t>
  </si>
  <si>
    <t>Parkeren</t>
  </si>
  <si>
    <t>Groenvoorziening</t>
  </si>
  <si>
    <t>Riolering</t>
  </si>
  <si>
    <t>Wateropvang</t>
  </si>
  <si>
    <t>Verlichting</t>
  </si>
  <si>
    <t>Architect</t>
  </si>
  <si>
    <t>Constructeur</t>
  </si>
  <si>
    <t>Juridisch advies</t>
  </si>
  <si>
    <t>Leges gemeente</t>
  </si>
  <si>
    <t>Bestemmingsplan</t>
  </si>
  <si>
    <t>Projectmanagement</t>
  </si>
  <si>
    <t>Verkoop woningen</t>
  </si>
  <si>
    <t>Verhuur woningen</t>
  </si>
  <si>
    <t>Zorgexploitatie</t>
  </si>
  <si>
    <t>Subsidies</t>
  </si>
  <si>
    <t>Energieopbrengsten</t>
  </si>
  <si>
    <t>Erfpacht</t>
  </si>
  <si>
    <t>Scenario</t>
  </si>
  <si>
    <t>Kosten (€)</t>
  </si>
  <si>
    <t>Opbrengsten (€)</t>
  </si>
  <si>
    <t>Resultaat (€)</t>
  </si>
  <si>
    <t>Conservatief</t>
  </si>
  <si>
    <t>Realistisch</t>
  </si>
  <si>
    <t>Optimistisch</t>
  </si>
  <si>
    <t>Aantal / Eenheid</t>
  </si>
  <si>
    <t>Prijs per eenheid (€)</t>
  </si>
  <si>
    <t>Totale waarde (€)</t>
  </si>
  <si>
    <t>Erfpacht grond</t>
  </si>
  <si>
    <t>Langjarige erfpachtconstructie</t>
  </si>
  <si>
    <t>Bouwkosten woningen</t>
  </si>
  <si>
    <t>Levensloopbestendige woningen</t>
  </si>
  <si>
    <t>Gemeenschappelijk erf</t>
  </si>
  <si>
    <t>Centraal erf en ontmoetingsruimte</t>
  </si>
  <si>
    <t>Zorgvoorzieningen</t>
  </si>
  <si>
    <t>Wonen met toevoeging zorg</t>
  </si>
  <si>
    <t>Energievoorziening</t>
  </si>
  <si>
    <t>Zonnepanelen, batterij en biogas</t>
  </si>
  <si>
    <t>Wateropvang en infiltratie</t>
  </si>
  <si>
    <t>Infra en parkeren</t>
  </si>
  <si>
    <t>Erfwegen en parkeren</t>
  </si>
  <si>
    <t>Advies en leges</t>
  </si>
  <si>
    <t>Architect, gemeente en procedures</t>
  </si>
  <si>
    <t>Onvoorzien</t>
  </si>
  <si>
    <t>Financiële buffer</t>
  </si>
  <si>
    <t>Totale investering</t>
  </si>
  <si>
    <t>Opbrengstenmodel</t>
  </si>
  <si>
    <t>Aantal</t>
  </si>
  <si>
    <t>Prijs (€)</t>
  </si>
  <si>
    <t>Totaal (€)</t>
  </si>
  <si>
    <t>Instap erfpacht bewoners</t>
  </si>
  <si>
    <t>Eenmalige instapvergoeding</t>
  </si>
  <si>
    <t>Jaarlijkse erfpacht</t>
  </si>
  <si>
    <t>Per woning per jaar</t>
  </si>
  <si>
    <t>Zorgservice abonnement</t>
  </si>
  <si>
    <t>Voorbereide zorgstructuur</t>
  </si>
  <si>
    <t>Energie-opbrengsten</t>
  </si>
  <si>
    <t>Energielevering aan regio</t>
  </si>
  <si>
    <t>Totale jaarlijkse opbrengsten</t>
  </si>
  <si>
    <t>Indicatief exploitatieverschil jaar 1</t>
  </si>
  <si>
    <t>Kern van het Boerdorp-model</t>
  </si>
  <si>
    <t>• Grond blijft in erfpachtconstructie</t>
  </si>
  <si>
    <t>• Bewoners kopen woonrecht in plaats van grond</t>
  </si>
  <si>
    <t>• Wonen, zorg en energie geïntegreerd</t>
  </si>
  <si>
    <t>• Circulaire erfstructuur met gedeelde voorzieningen</t>
  </si>
  <si>
    <t>• Lange termijn exploitatie in plaats van snelle verkoop</t>
  </si>
  <si>
    <t>Totale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</si>
</sst>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25" x14ac:dyDescent="0.45"/>
  <cols>
    <col min="1" max="1" width="25" customWidth="1"/>
    <col min="2" max="2" width="3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f>SUM(Grondexploitatie!B2:B20)</f>
        <v>100</v>
      </c>
    </row>
    <row r="3" spans="1:2" x14ac:dyDescent="0.45">
      <c r="A3" t="s">
        <v>3</v>
      </c>
      <c r="B3">
        <f>SUM(Bouwkosten!B2:B30)</f>
        <v>300000</v>
      </c>
    </row>
    <row r="4" spans="1:2" x14ac:dyDescent="0.45">
      <c r="A4" t="s">
        <v>4</v>
      </c>
      <c r="B4">
        <f>SUM('Infra &amp; Openbaar'!B2:B20)</f>
        <v>20000</v>
      </c>
    </row>
    <row r="5" spans="1:2" x14ac:dyDescent="0.45">
      <c r="A5" t="s">
        <v>5</v>
      </c>
      <c r="B5">
        <f>SUM('Advies &amp; Leges'!B2:B20)</f>
        <v>7500</v>
      </c>
    </row>
    <row r="6" spans="1:2" x14ac:dyDescent="0.45">
      <c r="A6" t="s">
        <v>91</v>
      </c>
      <c r="B6">
        <f>SUM(B2:B5)</f>
        <v>327600</v>
      </c>
    </row>
    <row r="7" spans="1:2" x14ac:dyDescent="0.45">
      <c r="A7" t="s">
        <v>6</v>
      </c>
      <c r="B7">
        <f>SUM(Opbrengsten!B2:B20)</f>
        <v>374000</v>
      </c>
    </row>
    <row r="8" spans="1:2" x14ac:dyDescent="0.45">
      <c r="A8" t="s">
        <v>7</v>
      </c>
      <c r="B8">
        <f>B7-SUM(B2:B5)</f>
        <v>46400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C20" sqref="C20"/>
    </sheetView>
  </sheetViews>
  <sheetFormatPr defaultRowHeight="14.25" x14ac:dyDescent="0.45"/>
  <cols>
    <col min="1" max="1" width="24" customWidth="1"/>
    <col min="2" max="2" width="14" customWidth="1"/>
    <col min="3" max="3" width="15" customWidth="1"/>
  </cols>
  <sheetData>
    <row r="1" spans="1:3" x14ac:dyDescent="0.45">
      <c r="A1" s="1" t="s">
        <v>8</v>
      </c>
      <c r="B1" s="1" t="s">
        <v>1</v>
      </c>
      <c r="C1" s="1" t="s">
        <v>9</v>
      </c>
    </row>
    <row r="2" spans="1:3" x14ac:dyDescent="0.45">
      <c r="A2" t="s">
        <v>10</v>
      </c>
      <c r="B2">
        <v>0</v>
      </c>
    </row>
    <row r="3" spans="1:3" x14ac:dyDescent="0.45">
      <c r="A3" t="s">
        <v>11</v>
      </c>
      <c r="B3">
        <v>100</v>
      </c>
    </row>
    <row r="4" spans="1:3" x14ac:dyDescent="0.45">
      <c r="A4" t="s">
        <v>12</v>
      </c>
      <c r="B4">
        <v>0</v>
      </c>
    </row>
    <row r="5" spans="1:3" x14ac:dyDescent="0.45">
      <c r="A5" t="s">
        <v>13</v>
      </c>
      <c r="B5">
        <v>0</v>
      </c>
    </row>
    <row r="6" spans="1:3" x14ac:dyDescent="0.45">
      <c r="A6" t="s">
        <v>14</v>
      </c>
      <c r="B6">
        <v>0</v>
      </c>
    </row>
    <row r="7" spans="1:3" x14ac:dyDescent="0.45">
      <c r="A7" t="s">
        <v>15</v>
      </c>
      <c r="B7">
        <v>0</v>
      </c>
    </row>
    <row r="8" spans="1:3" x14ac:dyDescent="0.45">
      <c r="A8" t="s">
        <v>16</v>
      </c>
      <c r="B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 activeCell="B15" sqref="B15"/>
    </sheetView>
  </sheetViews>
  <sheetFormatPr defaultRowHeight="14.25" x14ac:dyDescent="0.45"/>
  <cols>
    <col min="1" max="1" width="29" customWidth="1"/>
    <col min="2" max="2" width="14" customWidth="1"/>
    <col min="3" max="3" width="15" customWidth="1"/>
  </cols>
  <sheetData>
    <row r="1" spans="1:3" x14ac:dyDescent="0.45">
      <c r="A1" s="1" t="s">
        <v>8</v>
      </c>
      <c r="B1" s="1" t="s">
        <v>1</v>
      </c>
      <c r="C1" s="1" t="s">
        <v>9</v>
      </c>
    </row>
    <row r="2" spans="1:3" x14ac:dyDescent="0.45">
      <c r="A2" t="s">
        <v>17</v>
      </c>
      <c r="B2">
        <v>300000</v>
      </c>
    </row>
    <row r="3" spans="1:3" x14ac:dyDescent="0.45">
      <c r="A3" t="s">
        <v>18</v>
      </c>
      <c r="B3">
        <v>0</v>
      </c>
    </row>
    <row r="4" spans="1:3" x14ac:dyDescent="0.45">
      <c r="A4" t="s">
        <v>19</v>
      </c>
      <c r="B4">
        <v>0</v>
      </c>
    </row>
    <row r="5" spans="1:3" x14ac:dyDescent="0.45">
      <c r="A5" t="s">
        <v>20</v>
      </c>
      <c r="B5">
        <v>0</v>
      </c>
    </row>
    <row r="6" spans="1:3" x14ac:dyDescent="0.45">
      <c r="A6" t="s">
        <v>21</v>
      </c>
      <c r="B6">
        <v>0</v>
      </c>
    </row>
    <row r="7" spans="1:3" x14ac:dyDescent="0.45">
      <c r="A7" t="s">
        <v>22</v>
      </c>
      <c r="B7">
        <v>0</v>
      </c>
    </row>
    <row r="8" spans="1:3" x14ac:dyDescent="0.45">
      <c r="A8" t="s">
        <v>23</v>
      </c>
      <c r="B8">
        <v>0</v>
      </c>
    </row>
    <row r="9" spans="1:3" x14ac:dyDescent="0.45">
      <c r="A9" t="s">
        <v>24</v>
      </c>
      <c r="B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 activeCell="C18" sqref="C18"/>
    </sheetView>
  </sheetViews>
  <sheetFormatPr defaultRowHeight="14.25" x14ac:dyDescent="0.45"/>
  <cols>
    <col min="1" max="1" width="20" customWidth="1"/>
    <col min="2" max="2" width="14" customWidth="1"/>
    <col min="3" max="3" width="15" customWidth="1"/>
  </cols>
  <sheetData>
    <row r="1" spans="1:3" x14ac:dyDescent="0.45">
      <c r="A1" s="1" t="s">
        <v>8</v>
      </c>
      <c r="B1" s="1" t="s">
        <v>1</v>
      </c>
      <c r="C1" s="1" t="s">
        <v>9</v>
      </c>
    </row>
    <row r="2" spans="1:3" x14ac:dyDescent="0.45">
      <c r="A2" t="s">
        <v>25</v>
      </c>
      <c r="B2">
        <v>20000</v>
      </c>
    </row>
    <row r="3" spans="1:3" x14ac:dyDescent="0.45">
      <c r="A3" t="s">
        <v>26</v>
      </c>
      <c r="B3">
        <v>0</v>
      </c>
    </row>
    <row r="4" spans="1:3" x14ac:dyDescent="0.45">
      <c r="A4" t="s">
        <v>27</v>
      </c>
      <c r="B4">
        <v>0</v>
      </c>
    </row>
    <row r="5" spans="1:3" x14ac:dyDescent="0.45">
      <c r="A5" t="s">
        <v>28</v>
      </c>
      <c r="B5">
        <v>0</v>
      </c>
    </row>
    <row r="6" spans="1:3" x14ac:dyDescent="0.45">
      <c r="A6" t="s">
        <v>29</v>
      </c>
      <c r="B6">
        <v>0</v>
      </c>
    </row>
    <row r="7" spans="1:3" x14ac:dyDescent="0.45">
      <c r="A7" t="s">
        <v>30</v>
      </c>
      <c r="B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C19" sqref="C19"/>
    </sheetView>
  </sheetViews>
  <sheetFormatPr defaultRowHeight="14.25" x14ac:dyDescent="0.45"/>
  <cols>
    <col min="1" max="1" width="21" customWidth="1"/>
    <col min="2" max="2" width="14" customWidth="1"/>
    <col min="3" max="3" width="15" customWidth="1"/>
  </cols>
  <sheetData>
    <row r="1" spans="1:3" x14ac:dyDescent="0.45">
      <c r="A1" s="1" t="s">
        <v>8</v>
      </c>
      <c r="B1" s="1" t="s">
        <v>1</v>
      </c>
      <c r="C1" s="1" t="s">
        <v>9</v>
      </c>
    </row>
    <row r="2" spans="1:3" x14ac:dyDescent="0.45">
      <c r="A2" t="s">
        <v>31</v>
      </c>
      <c r="B2">
        <v>5000</v>
      </c>
    </row>
    <row r="3" spans="1:3" x14ac:dyDescent="0.45">
      <c r="A3" t="s">
        <v>32</v>
      </c>
      <c r="B3">
        <v>0</v>
      </c>
    </row>
    <row r="4" spans="1:3" x14ac:dyDescent="0.45">
      <c r="A4" t="s">
        <v>33</v>
      </c>
      <c r="B4">
        <v>0</v>
      </c>
    </row>
    <row r="5" spans="1:3" x14ac:dyDescent="0.45">
      <c r="A5" t="s">
        <v>34</v>
      </c>
      <c r="B5">
        <v>0</v>
      </c>
    </row>
    <row r="6" spans="1:3" x14ac:dyDescent="0.45">
      <c r="A6" t="s">
        <v>35</v>
      </c>
      <c r="B6">
        <v>0</v>
      </c>
    </row>
    <row r="7" spans="1:3" x14ac:dyDescent="0.45">
      <c r="A7" t="s">
        <v>36</v>
      </c>
      <c r="B7">
        <v>2500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pane ySplit="1" topLeftCell="A2" activePane="bottomLeft" state="frozen"/>
      <selection pane="bottomLeft" activeCell="F18" sqref="F18"/>
    </sheetView>
  </sheetViews>
  <sheetFormatPr defaultRowHeight="14.25" x14ac:dyDescent="0.45"/>
  <cols>
    <col min="1" max="1" width="22" customWidth="1"/>
    <col min="2" max="2" width="14" customWidth="1"/>
    <col min="3" max="3" width="15" customWidth="1"/>
  </cols>
  <sheetData>
    <row r="1" spans="1:3" x14ac:dyDescent="0.45">
      <c r="A1" s="1" t="s">
        <v>8</v>
      </c>
      <c r="B1" s="1" t="s">
        <v>1</v>
      </c>
      <c r="C1" s="1" t="s">
        <v>9</v>
      </c>
    </row>
    <row r="2" spans="1:3" x14ac:dyDescent="0.45">
      <c r="A2" t="s">
        <v>37</v>
      </c>
      <c r="B2">
        <v>340000</v>
      </c>
    </row>
    <row r="3" spans="1:3" x14ac:dyDescent="0.45">
      <c r="A3" t="s">
        <v>38</v>
      </c>
      <c r="B3">
        <v>0</v>
      </c>
    </row>
    <row r="4" spans="1:3" x14ac:dyDescent="0.45">
      <c r="A4" t="s">
        <v>39</v>
      </c>
      <c r="B4">
        <v>10000</v>
      </c>
    </row>
    <row r="5" spans="1:3" x14ac:dyDescent="0.45">
      <c r="A5" t="s">
        <v>40</v>
      </c>
      <c r="B5">
        <v>0</v>
      </c>
    </row>
    <row r="6" spans="1:3" x14ac:dyDescent="0.45">
      <c r="A6" t="s">
        <v>41</v>
      </c>
      <c r="B6">
        <v>0</v>
      </c>
    </row>
    <row r="7" spans="1:3" x14ac:dyDescent="0.45">
      <c r="A7" t="s">
        <v>42</v>
      </c>
      <c r="B7">
        <v>24000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14" customWidth="1"/>
    <col min="3" max="3" width="19" customWidth="1"/>
    <col min="4" max="4" width="17" customWidth="1"/>
  </cols>
  <sheetData>
    <row r="1" spans="1:4" x14ac:dyDescent="0.4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45">
      <c r="A2" t="s">
        <v>47</v>
      </c>
      <c r="B2">
        <v>0</v>
      </c>
      <c r="C2">
        <v>0</v>
      </c>
      <c r="D2">
        <f>C2-B2</f>
        <v>0</v>
      </c>
    </row>
    <row r="3" spans="1:4" x14ac:dyDescent="0.45">
      <c r="A3" t="s">
        <v>48</v>
      </c>
      <c r="B3">
        <v>0</v>
      </c>
      <c r="C3">
        <v>0</v>
      </c>
      <c r="D3">
        <f>C3-B3</f>
        <v>0</v>
      </c>
    </row>
    <row r="4" spans="1:4" x14ac:dyDescent="0.45">
      <c r="A4" t="s">
        <v>49</v>
      </c>
      <c r="B4">
        <v>0</v>
      </c>
      <c r="C4">
        <v>0</v>
      </c>
      <c r="D4">
        <f>C4-B4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5" customWidth="1"/>
    <col min="2" max="2" width="20" customWidth="1"/>
    <col min="3" max="3" width="25" customWidth="1"/>
    <col min="4" max="4" width="21" customWidth="1"/>
    <col min="5" max="5" width="37" customWidth="1"/>
  </cols>
  <sheetData>
    <row r="1" spans="1:5" x14ac:dyDescent="0.45">
      <c r="A1" s="2" t="s">
        <v>0</v>
      </c>
      <c r="B1" s="2" t="s">
        <v>50</v>
      </c>
      <c r="C1" s="2" t="s">
        <v>51</v>
      </c>
      <c r="D1" s="2" t="s">
        <v>52</v>
      </c>
      <c r="E1" s="2" t="s">
        <v>9</v>
      </c>
    </row>
    <row r="2" spans="1:5" x14ac:dyDescent="0.45">
      <c r="A2" t="s">
        <v>53</v>
      </c>
      <c r="B2">
        <v>10</v>
      </c>
      <c r="C2">
        <v>35000</v>
      </c>
      <c r="D2">
        <f t="shared" ref="D2:D10" si="0">B2*C2</f>
        <v>350000</v>
      </c>
      <c r="E2" t="s">
        <v>54</v>
      </c>
    </row>
    <row r="3" spans="1:5" x14ac:dyDescent="0.45">
      <c r="A3" t="s">
        <v>55</v>
      </c>
      <c r="B3">
        <v>10</v>
      </c>
      <c r="C3">
        <v>185000</v>
      </c>
      <c r="D3">
        <f t="shared" si="0"/>
        <v>1850000</v>
      </c>
      <c r="E3" t="s">
        <v>56</v>
      </c>
    </row>
    <row r="4" spans="1:5" x14ac:dyDescent="0.45">
      <c r="A4" t="s">
        <v>57</v>
      </c>
      <c r="B4">
        <v>1</v>
      </c>
      <c r="C4">
        <v>150000</v>
      </c>
      <c r="D4">
        <f t="shared" si="0"/>
        <v>150000</v>
      </c>
      <c r="E4" t="s">
        <v>58</v>
      </c>
    </row>
    <row r="5" spans="1:5" x14ac:dyDescent="0.45">
      <c r="A5" t="s">
        <v>59</v>
      </c>
      <c r="B5">
        <v>1</v>
      </c>
      <c r="C5">
        <v>95000</v>
      </c>
      <c r="D5">
        <f t="shared" si="0"/>
        <v>95000</v>
      </c>
      <c r="E5" t="s">
        <v>60</v>
      </c>
    </row>
    <row r="6" spans="1:5" x14ac:dyDescent="0.45">
      <c r="A6" t="s">
        <v>61</v>
      </c>
      <c r="B6">
        <v>1</v>
      </c>
      <c r="C6">
        <v>180000</v>
      </c>
      <c r="D6">
        <f t="shared" si="0"/>
        <v>180000</v>
      </c>
      <c r="E6" t="s">
        <v>62</v>
      </c>
    </row>
    <row r="7" spans="1:5" x14ac:dyDescent="0.45">
      <c r="A7" t="s">
        <v>22</v>
      </c>
      <c r="B7">
        <v>1</v>
      </c>
      <c r="C7">
        <v>45000</v>
      </c>
      <c r="D7">
        <f t="shared" si="0"/>
        <v>45000</v>
      </c>
      <c r="E7" t="s">
        <v>63</v>
      </c>
    </row>
    <row r="8" spans="1:5" x14ac:dyDescent="0.45">
      <c r="A8" t="s">
        <v>64</v>
      </c>
      <c r="B8">
        <v>1</v>
      </c>
      <c r="C8">
        <v>120000</v>
      </c>
      <c r="D8">
        <f t="shared" si="0"/>
        <v>120000</v>
      </c>
      <c r="E8" t="s">
        <v>65</v>
      </c>
    </row>
    <row r="9" spans="1:5" x14ac:dyDescent="0.45">
      <c r="A9" t="s">
        <v>66</v>
      </c>
      <c r="B9">
        <v>1</v>
      </c>
      <c r="C9">
        <v>85000</v>
      </c>
      <c r="D9">
        <f t="shared" si="0"/>
        <v>85000</v>
      </c>
      <c r="E9" t="s">
        <v>67</v>
      </c>
    </row>
    <row r="10" spans="1:5" x14ac:dyDescent="0.45">
      <c r="A10" t="s">
        <v>68</v>
      </c>
      <c r="B10">
        <v>1</v>
      </c>
      <c r="C10">
        <v>100000</v>
      </c>
      <c r="D10">
        <f t="shared" si="0"/>
        <v>100000</v>
      </c>
      <c r="E10" t="s">
        <v>69</v>
      </c>
    </row>
    <row r="11" spans="1:5" x14ac:dyDescent="0.45">
      <c r="A11" t="s">
        <v>70</v>
      </c>
      <c r="D11">
        <f>SUM(D2:D10)</f>
        <v>2975000</v>
      </c>
    </row>
    <row r="14" spans="1:5" x14ac:dyDescent="0.45">
      <c r="A14" s="3" t="s">
        <v>71</v>
      </c>
    </row>
    <row r="15" spans="1:5" x14ac:dyDescent="0.45">
      <c r="A15" s="2" t="s">
        <v>0</v>
      </c>
      <c r="B15" s="2" t="s">
        <v>72</v>
      </c>
      <c r="C15" s="2" t="s">
        <v>73</v>
      </c>
      <c r="D15" s="2" t="s">
        <v>74</v>
      </c>
      <c r="E15" s="2" t="s">
        <v>9</v>
      </c>
    </row>
    <row r="16" spans="1:5" x14ac:dyDescent="0.45">
      <c r="A16" t="s">
        <v>75</v>
      </c>
      <c r="B16">
        <v>10</v>
      </c>
      <c r="C16">
        <v>25000</v>
      </c>
      <c r="D16">
        <f>B16*C16</f>
        <v>250000</v>
      </c>
      <c r="E16" t="s">
        <v>76</v>
      </c>
    </row>
    <row r="17" spans="1:5" x14ac:dyDescent="0.45">
      <c r="A17" t="s">
        <v>77</v>
      </c>
      <c r="B17">
        <v>10</v>
      </c>
      <c r="C17">
        <v>7200</v>
      </c>
      <c r="D17">
        <f>B17*C17</f>
        <v>72000</v>
      </c>
      <c r="E17" t="s">
        <v>78</v>
      </c>
    </row>
    <row r="18" spans="1:5" x14ac:dyDescent="0.45">
      <c r="A18" t="s">
        <v>79</v>
      </c>
      <c r="B18">
        <v>10</v>
      </c>
      <c r="C18">
        <v>1800</v>
      </c>
      <c r="D18">
        <f>B18*C18</f>
        <v>18000</v>
      </c>
      <c r="E18" t="s">
        <v>80</v>
      </c>
    </row>
    <row r="19" spans="1:5" x14ac:dyDescent="0.45">
      <c r="A19" t="s">
        <v>81</v>
      </c>
      <c r="B19">
        <v>1</v>
      </c>
      <c r="C19">
        <v>95000</v>
      </c>
      <c r="D19">
        <f>B19*C19</f>
        <v>95000</v>
      </c>
      <c r="E19" t="s">
        <v>82</v>
      </c>
    </row>
    <row r="20" spans="1:5" x14ac:dyDescent="0.45">
      <c r="A20" t="s">
        <v>83</v>
      </c>
      <c r="D20">
        <f>SUM(D16:D19)</f>
        <v>435000</v>
      </c>
    </row>
    <row r="22" spans="1:5" x14ac:dyDescent="0.45">
      <c r="A22" t="s">
        <v>84</v>
      </c>
      <c r="D22">
        <f>D20-D11</f>
        <v>-2540000</v>
      </c>
    </row>
    <row r="24" spans="1:5" x14ac:dyDescent="0.45">
      <c r="A24" s="3" t="s">
        <v>85</v>
      </c>
    </row>
    <row r="25" spans="1:5" x14ac:dyDescent="0.45">
      <c r="A25" t="s">
        <v>86</v>
      </c>
    </row>
    <row r="26" spans="1:5" x14ac:dyDescent="0.45">
      <c r="A26" t="s">
        <v>87</v>
      </c>
    </row>
    <row r="27" spans="1:5" x14ac:dyDescent="0.45">
      <c r="A27" t="s">
        <v>88</v>
      </c>
    </row>
    <row r="28" spans="1:5" x14ac:dyDescent="0.45">
      <c r="A28" t="s">
        <v>89</v>
      </c>
    </row>
    <row r="29" spans="1:5" x14ac:dyDescent="0.45">
      <c r="A29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GREX Samenvatting</vt:lpstr>
      <vt:lpstr>Grondexploitatie</vt:lpstr>
      <vt:lpstr>Bouwkosten</vt:lpstr>
      <vt:lpstr>Infra &amp; Openbaar</vt:lpstr>
      <vt:lpstr>Advies &amp; Leges</vt:lpstr>
      <vt:lpstr>Opbrengsten</vt:lpstr>
      <vt:lpstr>Scenario Analyse</vt:lpstr>
      <vt:lpstr>Boerdorp Voorbeeld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Smulders</cp:lastModifiedBy>
  <dcterms:created xsi:type="dcterms:W3CDTF">2026-05-01T13:37:07Z</dcterms:created>
  <dcterms:modified xsi:type="dcterms:W3CDTF">2026-05-02T09:34:56Z</dcterms:modified>
</cp:coreProperties>
</file>